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sue主檔" sheetId="1" r:id="rId5"/>
    <sheet state="visible" name="Task一覽" sheetId="2" r:id="rId6"/>
    <sheet state="visible" name="組別頁面" sheetId="3" r:id="rId7"/>
  </sheets>
  <definedNames/>
  <calcPr/>
</workbook>
</file>

<file path=xl/sharedStrings.xml><?xml version="1.0" encoding="utf-8"?>
<sst xmlns="http://schemas.openxmlformats.org/spreadsheetml/2006/main" count="522" uniqueCount="241">
  <si>
    <t>區分</t>
  </si>
  <si>
    <t>軸</t>
  </si>
  <si>
    <t>編號</t>
  </si>
  <si>
    <t>Issue</t>
  </si>
  <si>
    <t>Issue短縮</t>
  </si>
  <si>
    <t>處</t>
  </si>
  <si>
    <t>組</t>
  </si>
  <si>
    <t>戰略負責人</t>
  </si>
  <si>
    <t>管理頁面</t>
  </si>
  <si>
    <t>確認會議</t>
  </si>
  <si>
    <t>會議時間</t>
  </si>
  <si>
    <t>種別</t>
  </si>
  <si>
    <t>親編號</t>
  </si>
  <si>
    <t>Confluence URL</t>
  </si>
  <si>
    <t>狀態</t>
  </si>
  <si>
    <t>事務局備註</t>
  </si>
  <si>
    <t>更新日</t>
  </si>
  <si>
    <t>戰略</t>
  </si>
  <si>
    <t>N</t>
  </si>
  <si>
    <t>戰略-1</t>
  </si>
  <si>
    <t>BCL註冊用戶擴大</t>
  </si>
  <si>
    <t>BCL擴大</t>
  </si>
  <si>
    <t>經營戰略</t>
  </si>
  <si>
    <t>1.經營戰略</t>
  </si>
  <si>
    <t>少琪</t>
  </si>
  <si>
    <t>JIG-BCL</t>
  </si>
  <si>
    <t>經營戰略組會</t>
  </si>
  <si>
    <t>週三15:30</t>
  </si>
  <si>
    <t>BCL收集戰略-綁定理由&amp;LP</t>
  </si>
  <si>
    <t>綁定理由</t>
  </si>
  <si>
    <t>Task</t>
  </si>
  <si>
    <t>進行中</t>
  </si>
  <si>
    <t>LP標籤-n8n</t>
  </si>
  <si>
    <t>LP-n8n</t>
  </si>
  <si>
    <t>CV</t>
  </si>
  <si>
    <t>戰略-2</t>
  </si>
  <si>
    <t>BCL忠誠用戶擴大</t>
  </si>
  <si>
    <t>LBCL</t>
  </si>
  <si>
    <t>0-6M:LBCL化-誘導商品LP</t>
  </si>
  <si>
    <t>0-6M&amp;LP</t>
  </si>
  <si>
    <t>O</t>
  </si>
  <si>
    <t>戰略-3</t>
  </si>
  <si>
    <t>誇通路誇商品戰略（交叉銷售·客單價提升）</t>
  </si>
  <si>
    <t>誇通路誇商品</t>
  </si>
  <si>
    <t>育菱</t>
  </si>
  <si>
    <t>JIG-經營戰略</t>
  </si>
  <si>
    <t>學習</t>
  </si>
  <si>
    <t>學習-1</t>
  </si>
  <si>
    <t>YOUTUBE內容強化·各事業業績貢獻·訂閱者擴大</t>
  </si>
  <si>
    <t>YOUTUBE</t>
  </si>
  <si>
    <t>商品事業</t>
  </si>
  <si>
    <t>2.學習商品開發</t>
  </si>
  <si>
    <t>JIG-學習商品開發</t>
  </si>
  <si>
    <t>商品溝通-YT</t>
  </si>
  <si>
    <t>週二14:30</t>
  </si>
  <si>
    <t>學習-2</t>
  </si>
  <si>
    <t>學習商品-SKU擴大·進化</t>
  </si>
  <si>
    <t>學習SKU</t>
  </si>
  <si>
    <t>商品溝通-學習商品</t>
  </si>
  <si>
    <t>舞台劇</t>
  </si>
  <si>
    <t>舞台劇-1</t>
  </si>
  <si>
    <t>舞台劇-事業成長</t>
  </si>
  <si>
    <t>3.表演活動</t>
  </si>
  <si>
    <t>JIG-表演活動</t>
  </si>
  <si>
    <t>商品溝通-舞台劇</t>
  </si>
  <si>
    <t>授權</t>
  </si>
  <si>
    <t>授權-1</t>
  </si>
  <si>
    <t>MD商品授權擴大（好園地/自社）</t>
  </si>
  <si>
    <t>IP-MD</t>
  </si>
  <si>
    <t>4.品牌授權策略</t>
  </si>
  <si>
    <t>JIG-品牌授權策略</t>
  </si>
  <si>
    <t>商品溝通-授權</t>
  </si>
  <si>
    <t>授權-2</t>
  </si>
  <si>
    <t>卡通IP化·授權收益擴大</t>
  </si>
  <si>
    <t>IP-卡通</t>
  </si>
  <si>
    <t>授權-3</t>
  </si>
  <si>
    <t>空間授權事業拓展</t>
  </si>
  <si>
    <t>IP-空間</t>
  </si>
  <si>
    <t>授權-4</t>
  </si>
  <si>
    <t>周邊商品-SKU擴大·進化</t>
  </si>
  <si>
    <t>周邊-SKU</t>
  </si>
  <si>
    <t>整合</t>
  </si>
  <si>
    <t>整合-1</t>
  </si>
  <si>
    <t>學習商品-行銷戰略</t>
  </si>
  <si>
    <t>學習行銷</t>
  </si>
  <si>
    <t>整合行銷</t>
  </si>
  <si>
    <t>5.數位行銷</t>
  </si>
  <si>
    <t>JIG-數位行銷</t>
  </si>
  <si>
    <t>整合溝通-數位行銷</t>
  </si>
  <si>
    <t>週二15:30</t>
  </si>
  <si>
    <t>整合-2</t>
  </si>
  <si>
    <t>LC8T-AWRT WEB再行銷對象抽取·自動發信</t>
  </si>
  <si>
    <t>AWRT</t>
  </si>
  <si>
    <t>整合-3</t>
  </si>
  <si>
    <t>EC（蝦皮）戰略</t>
  </si>
  <si>
    <t>周邊-EC</t>
  </si>
  <si>
    <t>整合-4</t>
  </si>
  <si>
    <t>SNS社群互動·粉絲擴大·各事業貢獻</t>
  </si>
  <si>
    <t>SNS</t>
  </si>
  <si>
    <t>整合-5</t>
  </si>
  <si>
    <t>官方網站體驗強化·轉換提升&amp;LiveChat優化</t>
  </si>
  <si>
    <t>官網&amp;LiveChat</t>
  </si>
  <si>
    <t>6.通路整合</t>
  </si>
  <si>
    <t>JIG-通路整合</t>
  </si>
  <si>
    <t>整合溝通-通路整合</t>
  </si>
  <si>
    <t>整合-6</t>
  </si>
  <si>
    <t>周邊商品-行銷戰略</t>
  </si>
  <si>
    <t>周邊行銷</t>
  </si>
  <si>
    <t>整合-7</t>
  </si>
  <si>
    <t>Mirafeel-事業成長</t>
  </si>
  <si>
    <t>Mirafeel</t>
  </si>
  <si>
    <t>CX</t>
  </si>
  <si>
    <t>CX-1</t>
  </si>
  <si>
    <t>LC8T-ACTS 產品系列定期發信自動化</t>
  </si>
  <si>
    <t>ACTS</t>
  </si>
  <si>
    <t>CX計劃</t>
  </si>
  <si>
    <t>7.LTV戰略</t>
  </si>
  <si>
    <t>JIG-LTV戰略</t>
  </si>
  <si>
    <t>CX溝通</t>
  </si>
  <si>
    <t>週三10:30</t>
  </si>
  <si>
    <t>超過1000以上的推播自動化功能</t>
  </si>
  <si>
    <t>ACTS技術確認</t>
  </si>
  <si>
    <t>CX-2</t>
  </si>
  <si>
    <t>LC8T-ATLT 高回應對象自動抽取·TEL名單化</t>
  </si>
  <si>
    <t>ATLT</t>
  </si>
  <si>
    <t>CX-3</t>
  </si>
  <si>
    <t>LINE客服（Chatbot&amp;RHM）運營改善</t>
  </si>
  <si>
    <t>Chatbot&amp;RHM</t>
  </si>
  <si>
    <t>資訊</t>
  </si>
  <si>
    <t>I</t>
  </si>
  <si>
    <t>資訊-1</t>
  </si>
  <si>
    <t>系統開發&amp;優化&amp;共同費用合理化·</t>
  </si>
  <si>
    <t>系統優化</t>
  </si>
  <si>
    <t>資訊事業</t>
  </si>
  <si>
    <t>8.資訊</t>
  </si>
  <si>
    <t>詩雅</t>
  </si>
  <si>
    <t>JIG-資訊</t>
  </si>
  <si>
    <t>資訊溝通</t>
  </si>
  <si>
    <t>週一11:00</t>
  </si>
  <si>
    <t>財務</t>
  </si>
  <si>
    <t>P</t>
  </si>
  <si>
    <t>財務-1</t>
  </si>
  <si>
    <t>經營可視化(PL-BS-CF-ROI)</t>
  </si>
  <si>
    <t>PL-BS-CF-ROI</t>
  </si>
  <si>
    <t>9.財務</t>
  </si>
  <si>
    <t>JIG-財務</t>
  </si>
  <si>
    <t>財務溝通</t>
  </si>
  <si>
    <t>週四13:30</t>
  </si>
  <si>
    <t>總統</t>
  </si>
  <si>
    <t>總統-1</t>
  </si>
  <si>
    <t>物流戰略</t>
  </si>
  <si>
    <t>總管理</t>
  </si>
  <si>
    <t>10.統籌整合</t>
  </si>
  <si>
    <t>JIG-統籌整合</t>
  </si>
  <si>
    <t>總管理溝通</t>
  </si>
  <si>
    <t>週一10:00</t>
  </si>
  <si>
    <t>總統-2</t>
  </si>
  <si>
    <t>組織戰略</t>
  </si>
  <si>
    <t>總統-3</t>
  </si>
  <si>
    <t>合約規管一元化·可視化</t>
  </si>
  <si>
    <t>合約規管</t>
  </si>
  <si>
    <t>合約管理</t>
  </si>
  <si>
    <t>週一09:30</t>
  </si>
  <si>
    <t>靜中美</t>
  </si>
  <si>
    <t>靜中美-1</t>
  </si>
  <si>
    <t>庫存管理-降低風險</t>
  </si>
  <si>
    <t>庫存風險</t>
  </si>
  <si>
    <t>11.靜中美</t>
  </si>
  <si>
    <t>JIG-靜中美</t>
  </si>
  <si>
    <t>週二13:30</t>
  </si>
  <si>
    <t>靜中美-2</t>
  </si>
  <si>
    <t>共創SKU擴大·進化</t>
  </si>
  <si>
    <t>共創-SKU擴大</t>
  </si>
  <si>
    <t>靜中美-3</t>
  </si>
  <si>
    <t>跨境A&amp;B-SKU擴大·進化</t>
  </si>
  <si>
    <t>跨境-SKU擴大</t>
  </si>
  <si>
    <t>AIC</t>
  </si>
  <si>
    <t>AIC-1</t>
  </si>
  <si>
    <t>AI經營能力提升</t>
  </si>
  <si>
    <t>AI經營能力</t>
  </si>
  <si>
    <t>12.巧虎AIC</t>
  </si>
  <si>
    <t>JIG-AIC</t>
  </si>
  <si>
    <t>AIC會議</t>
  </si>
  <si>
    <t>週五10:00</t>
  </si>
  <si>
    <t>LC8T</t>
  </si>
  <si>
    <t>LC8T-1</t>
  </si>
  <si>
    <t>LC8T實裝·運用成熟·機能改善·資料統合</t>
  </si>
  <si>
    <t>LC8T推進</t>
  </si>
  <si>
    <t>13.LC8T推進</t>
  </si>
  <si>
    <t>JIG-LC8T</t>
  </si>
  <si>
    <t>LC8T-推進</t>
  </si>
  <si>
    <t>週一10:30</t>
  </si>
  <si>
    <t>綢繆帷幄</t>
  </si>
  <si>
    <t>綢繆帷幄-2</t>
  </si>
  <si>
    <t>JIG-經營Issue管控機制建立</t>
  </si>
  <si>
    <t>JIG</t>
  </si>
  <si>
    <t>14.綢繆帷幄</t>
  </si>
  <si>
    <t>JIG-綢繆帷幄</t>
  </si>
  <si>
    <t>週四10:30</t>
  </si>
  <si>
    <t>詩雅-1</t>
  </si>
  <si>
    <t>LTV儀表板建設-提升經營Issue的尋找以及判斷能力</t>
  </si>
  <si>
    <t>LTV儀表板</t>
  </si>
  <si>
    <t>15.詩雅1on1</t>
  </si>
  <si>
    <t>JIG-詩雅工作一覽</t>
  </si>
  <si>
    <t>詩雅1ON1</t>
  </si>
  <si>
    <t>週三14:00</t>
  </si>
  <si>
    <t>詩雅-2</t>
  </si>
  <si>
    <t>業績確認以及經營會運營</t>
  </si>
  <si>
    <t>業績經營會運營</t>
  </si>
  <si>
    <t>業績確認</t>
  </si>
  <si>
    <t>週一14:00</t>
  </si>
  <si>
    <t>育菱-1</t>
  </si>
  <si>
    <t>跨部門Issue調整方針討論</t>
  </si>
  <si>
    <t>跨部門Issue</t>
  </si>
  <si>
    <t>16.育菱1on1</t>
  </si>
  <si>
    <t>JIG-育菱工作一覽</t>
  </si>
  <si>
    <t>育菱1on1</t>
  </si>
  <si>
    <t>週四09:30</t>
  </si>
  <si>
    <t>經營會</t>
  </si>
  <si>
    <t>經營會-1</t>
  </si>
  <si>
    <t>經營重要事項共有·討論</t>
  </si>
  <si>
    <t>17.經營會</t>
  </si>
  <si>
    <t>JIG-經營會</t>
  </si>
  <si>
    <t>週二11:00</t>
  </si>
  <si>
    <t>https://benessetw.atlassian.net/wiki/spaces/JIGissue/pages/614629377/JIG_</t>
  </si>
  <si>
    <t>https://benessetw.atlassian.net/wiki/spaces/JIGissue/pages/614662145/JIG_</t>
  </si>
  <si>
    <t>https://benessetw.atlassian.net/wiki/spaces/JIGissue/pages/614662161/JIG_</t>
  </si>
  <si>
    <t>https://benessetw.atlassian.net/wiki/spaces/JIGissue/pages/614596611/JIG_</t>
  </si>
  <si>
    <t>https://benessetw.atlassian.net/wiki/spaces/JIGissue/pages/614629392/JIG_</t>
  </si>
  <si>
    <t>https://benessetw.atlassian.net/wiki/spaces/JIGissue/pages/614629407/JIG_</t>
  </si>
  <si>
    <t>https://benessetw.atlassian.net/wiki/spaces/JIGissue/pages/614694913/JIG_LTV</t>
  </si>
  <si>
    <t>https://benessetw.atlassian.net/wiki/spaces/JIGissue/pages/614629422/JIG_</t>
  </si>
  <si>
    <t>https://benessetw.atlassian.net/wiki/spaces/JIGissue/pages/614694928/JIG_</t>
  </si>
  <si>
    <t>https://benessetw.atlassian.net/wiki/spaces/JIGissue/pages/614662176/JIG_</t>
  </si>
  <si>
    <t>https://benessetw.atlassian.net/wiki/spaces/JIGissue/pages/614694943/JIG_</t>
  </si>
  <si>
    <t>https://benessetw.atlassian.net/wiki/spaces/JIGissue/pages/614629437/JIG_+AIC</t>
  </si>
  <si>
    <t>https://benessetw.atlassian.net/wiki/spaces/WS/pages/240386801/LC8T</t>
  </si>
  <si>
    <t>https://benessetw.atlassian.net/wiki/spaces/WS/pages/213450952/-</t>
  </si>
  <si>
    <t>https://benessetw.atlassian.net/wiki/spaces/WS/pages/66879652</t>
  </si>
  <si>
    <t>https://benessetw.atlassian.net/wiki/spaces/WS/pages/161808493</t>
  </si>
  <si>
    <t>https://benessetw.atlassian.net/wiki/spaces/WS/pages/87491507/Page+Tree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</si>
</sst>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u/>
      <color rgb="FF0000FF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benessetw.atlassian.net/wiki/spaces/JIGissue/pages/614694943/JIG_" TargetMode="External"/><Relationship Id="rId10" Type="http://schemas.openxmlformats.org/officeDocument/2006/relationships/hyperlink" Target="https://benessetw.atlassian.net/wiki/spaces/JIGissue/pages/614662176/JIG_" TargetMode="External"/><Relationship Id="rId13" Type="http://schemas.openxmlformats.org/officeDocument/2006/relationships/hyperlink" Target="https://benessetw.atlassian.net/wiki/spaces/WS/pages/240386801/LC8T" TargetMode="External"/><Relationship Id="rId12" Type="http://schemas.openxmlformats.org/officeDocument/2006/relationships/hyperlink" Target="https://benessetw.atlassian.net/wiki/spaces/JIGissue/pages/614629437/JIG_+AIC" TargetMode="External"/><Relationship Id="rId1" Type="http://schemas.openxmlformats.org/officeDocument/2006/relationships/hyperlink" Target="https://benessetw.atlassian.net/wiki/spaces/JIGissue/pages/614629377/JIG_" TargetMode="External"/><Relationship Id="rId2" Type="http://schemas.openxmlformats.org/officeDocument/2006/relationships/hyperlink" Target="https://benessetw.atlassian.net/wiki/spaces/JIGissue/pages/614662145/JIG_" TargetMode="External"/><Relationship Id="rId3" Type="http://schemas.openxmlformats.org/officeDocument/2006/relationships/hyperlink" Target="https://benessetw.atlassian.net/wiki/spaces/JIGissue/pages/614662161/JIG_" TargetMode="External"/><Relationship Id="rId4" Type="http://schemas.openxmlformats.org/officeDocument/2006/relationships/hyperlink" Target="https://benessetw.atlassian.net/wiki/spaces/JIGissue/pages/614596611/JIG_" TargetMode="External"/><Relationship Id="rId9" Type="http://schemas.openxmlformats.org/officeDocument/2006/relationships/hyperlink" Target="https://benessetw.atlassian.net/wiki/spaces/JIGissue/pages/614694928/JIG_" TargetMode="External"/><Relationship Id="rId15" Type="http://schemas.openxmlformats.org/officeDocument/2006/relationships/hyperlink" Target="https://benessetw.atlassian.net/wiki/spaces/WS/pages/66879652" TargetMode="External"/><Relationship Id="rId14" Type="http://schemas.openxmlformats.org/officeDocument/2006/relationships/hyperlink" Target="https://benessetw.atlassian.net/wiki/spaces/WS/pages/213450952/-" TargetMode="External"/><Relationship Id="rId17" Type="http://schemas.openxmlformats.org/officeDocument/2006/relationships/hyperlink" Target="https://benessetw.atlassian.net/wiki/spaces/WS/pages/87491507/Page+Tree" TargetMode="External"/><Relationship Id="rId16" Type="http://schemas.openxmlformats.org/officeDocument/2006/relationships/hyperlink" Target="https://benessetw.atlassian.net/wiki/spaces/WS/pages/161808493" TargetMode="External"/><Relationship Id="rId5" Type="http://schemas.openxmlformats.org/officeDocument/2006/relationships/hyperlink" Target="https://benessetw.atlassian.net/wiki/spaces/JIGissue/pages/614629392/JIG_" TargetMode="External"/><Relationship Id="rId6" Type="http://schemas.openxmlformats.org/officeDocument/2006/relationships/hyperlink" Target="https://benessetw.atlassian.net/wiki/spaces/JIGissue/pages/614629407/JIG_" TargetMode="External"/><Relationship Id="rId18" Type="http://schemas.openxmlformats.org/officeDocument/2006/relationships/drawing" Target="../drawings/drawing3.xml"/><Relationship Id="rId7" Type="http://schemas.openxmlformats.org/officeDocument/2006/relationships/hyperlink" Target="https://benessetw.atlassian.net/wiki/spaces/JIGissue/pages/614694913/JIG_LTV" TargetMode="External"/><Relationship Id="rId8" Type="http://schemas.openxmlformats.org/officeDocument/2006/relationships/hyperlink" Target="https://benessetw.atlassian.net/wiki/spaces/JIGissue/pages/614629422/JIG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57"/>
    <col customWidth="1" min="2" max="2" width="5.0"/>
    <col customWidth="1" min="3" max="3" width="12.14"/>
    <col customWidth="1" min="4" max="4" width="54.0"/>
    <col customWidth="1" min="5" max="5" width="20.0"/>
    <col customWidth="1" min="6" max="6" width="12.0"/>
    <col customWidth="1" min="7" max="7" width="15.29"/>
    <col customWidth="1" min="8" max="8" width="12.0"/>
    <col customWidth="1" min="9" max="10" width="20.0"/>
    <col customWidth="1" min="11" max="11" width="12.0"/>
    <col customWidth="1" min="12" max="12" width="21.57"/>
    <col customWidth="1" min="13" max="13" width="8.71"/>
    <col customWidth="1" min="14" max="14" width="29.71"/>
    <col customWidth="1" min="15" max="15" width="22.14"/>
    <col customWidth="1" min="16" max="16" width="42.71"/>
    <col customWidth="1" min="17" max="27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 t="s">
        <v>17</v>
      </c>
      <c r="B2" s="1" t="s">
        <v>18</v>
      </c>
      <c r="C2" s="2" t="s">
        <v>19</v>
      </c>
      <c r="D2" s="1" t="s">
        <v>20</v>
      </c>
      <c r="E2" s="1" t="s">
        <v>21</v>
      </c>
      <c r="F2" s="1" t="s">
        <v>22</v>
      </c>
      <c r="G2" s="2" t="s">
        <v>23</v>
      </c>
      <c r="H2" s="1" t="s">
        <v>24</v>
      </c>
      <c r="I2" s="1" t="s">
        <v>25</v>
      </c>
      <c r="J2" s="1" t="s">
        <v>26</v>
      </c>
      <c r="K2" s="1" t="s">
        <v>27</v>
      </c>
      <c r="L2" s="2" t="s">
        <v>3</v>
      </c>
      <c r="N2" s="3" t="str">
        <f>IFERROR(VLOOKUP(G2, '組別頁面'!A:B, 2, FALSE) &amp; "#" &amp; C2, "")</f>
        <v>https://benessetw.atlassian.net/wiki/spaces/JIGissue/pages/614629377/JIG_#戰略-1</v>
      </c>
      <c r="O2" s="1"/>
    </row>
    <row r="3">
      <c r="A3" s="2" t="s">
        <v>17</v>
      </c>
      <c r="B3" s="1" t="s">
        <v>18</v>
      </c>
      <c r="C3" s="2" t="s">
        <v>19</v>
      </c>
      <c r="D3" s="2" t="s">
        <v>28</v>
      </c>
      <c r="E3" s="2" t="s">
        <v>29</v>
      </c>
      <c r="F3" s="1" t="s">
        <v>22</v>
      </c>
      <c r="G3" s="2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2" t="s">
        <v>30</v>
      </c>
      <c r="M3" s="2" t="s">
        <v>19</v>
      </c>
      <c r="N3" s="3" t="str">
        <f>IFERROR(VLOOKUP(G3, '組別頁面'!A:B, 2, FALSE) &amp; "#" &amp; C3, "")</f>
        <v>https://benessetw.atlassian.net/wiki/spaces/JIGissue/pages/614629377/JIG_#戰略-1</v>
      </c>
      <c r="O3" s="2" t="s">
        <v>31</v>
      </c>
    </row>
    <row r="4">
      <c r="A4" s="2" t="s">
        <v>17</v>
      </c>
      <c r="B4" s="1" t="s">
        <v>18</v>
      </c>
      <c r="C4" s="2" t="s">
        <v>19</v>
      </c>
      <c r="D4" s="2" t="s">
        <v>32</v>
      </c>
      <c r="E4" s="2" t="s">
        <v>33</v>
      </c>
      <c r="F4" s="1" t="s">
        <v>22</v>
      </c>
      <c r="G4" s="2" t="s">
        <v>23</v>
      </c>
      <c r="H4" s="1" t="s">
        <v>24</v>
      </c>
      <c r="I4" s="1" t="s">
        <v>25</v>
      </c>
      <c r="J4" s="1" t="s">
        <v>26</v>
      </c>
      <c r="K4" s="1" t="s">
        <v>27</v>
      </c>
      <c r="L4" s="2" t="s">
        <v>30</v>
      </c>
      <c r="M4" s="2" t="s">
        <v>19</v>
      </c>
      <c r="N4" s="3" t="str">
        <f>IFERROR(VLOOKUP(G4, '組別頁面'!A:B, 2, FALSE) &amp; "#" &amp; C4, "")</f>
        <v>https://benessetw.atlassian.net/wiki/spaces/JIGissue/pages/614629377/JIG_#戰略-1</v>
      </c>
      <c r="O4" s="2" t="s">
        <v>31</v>
      </c>
    </row>
    <row r="5">
      <c r="A5" s="2" t="s">
        <v>17</v>
      </c>
      <c r="B5" s="2" t="s">
        <v>34</v>
      </c>
      <c r="C5" s="2" t="s">
        <v>35</v>
      </c>
      <c r="D5" s="2" t="s">
        <v>36</v>
      </c>
      <c r="E5" s="2" t="s">
        <v>37</v>
      </c>
      <c r="F5" s="1" t="s">
        <v>22</v>
      </c>
      <c r="G5" s="2" t="s">
        <v>23</v>
      </c>
      <c r="H5" s="1" t="s">
        <v>24</v>
      </c>
      <c r="I5" s="1" t="s">
        <v>25</v>
      </c>
      <c r="J5" s="1" t="s">
        <v>26</v>
      </c>
      <c r="K5" s="1" t="s">
        <v>27</v>
      </c>
      <c r="L5" s="2" t="s">
        <v>3</v>
      </c>
      <c r="N5" s="3" t="str">
        <f>IFERROR(VLOOKUP(G5, '組別頁面'!A:B, 2, FALSE) &amp; "#" &amp; C5, "")</f>
        <v>https://benessetw.atlassian.net/wiki/spaces/JIGissue/pages/614629377/JIG_#戰略-2</v>
      </c>
      <c r="O5" s="1"/>
    </row>
    <row r="6">
      <c r="A6" s="2" t="s">
        <v>17</v>
      </c>
      <c r="B6" s="2" t="s">
        <v>34</v>
      </c>
      <c r="C6" s="2" t="s">
        <v>35</v>
      </c>
      <c r="D6" s="2" t="s">
        <v>38</v>
      </c>
      <c r="E6" s="2" t="s">
        <v>39</v>
      </c>
      <c r="F6" s="1" t="s">
        <v>22</v>
      </c>
      <c r="G6" s="2" t="s">
        <v>23</v>
      </c>
      <c r="H6" s="1" t="s">
        <v>24</v>
      </c>
      <c r="I6" s="1" t="s">
        <v>25</v>
      </c>
      <c r="J6" s="1" t="s">
        <v>26</v>
      </c>
      <c r="K6" s="1" t="s">
        <v>27</v>
      </c>
      <c r="L6" s="2" t="s">
        <v>30</v>
      </c>
      <c r="M6" s="2" t="s">
        <v>35</v>
      </c>
      <c r="N6" s="3" t="str">
        <f>IFERROR(VLOOKUP(G6, '組別頁面'!A:B, 2, FALSE) &amp; "#" &amp; C6, "")</f>
        <v>https://benessetw.atlassian.net/wiki/spaces/JIGissue/pages/614629377/JIG_#戰略-2</v>
      </c>
      <c r="O6" s="2" t="s">
        <v>31</v>
      </c>
    </row>
    <row r="7">
      <c r="A7" s="2" t="s">
        <v>17</v>
      </c>
      <c r="B7" s="1" t="s">
        <v>40</v>
      </c>
      <c r="C7" s="2" t="s">
        <v>41</v>
      </c>
      <c r="D7" s="2" t="s">
        <v>42</v>
      </c>
      <c r="E7" s="2" t="s">
        <v>43</v>
      </c>
      <c r="F7" s="1" t="s">
        <v>22</v>
      </c>
      <c r="G7" s="2" t="s">
        <v>23</v>
      </c>
      <c r="H7" s="1" t="s">
        <v>44</v>
      </c>
      <c r="I7" s="1" t="s">
        <v>45</v>
      </c>
      <c r="J7" s="1" t="s">
        <v>26</v>
      </c>
      <c r="K7" s="1" t="s">
        <v>27</v>
      </c>
      <c r="L7" s="2" t="s">
        <v>3</v>
      </c>
      <c r="N7" s="3" t="str">
        <f>IFERROR(VLOOKUP(G7, '組別頁面'!A:B, 2, FALSE) &amp; "#" &amp; C7, "")</f>
        <v>https://benessetw.atlassian.net/wiki/spaces/JIGissue/pages/614629377/JIG_#戰略-3</v>
      </c>
      <c r="O7" s="1"/>
    </row>
    <row r="8" ht="15.75" customHeight="1">
      <c r="A8" s="2" t="s">
        <v>46</v>
      </c>
      <c r="B8" s="1" t="s">
        <v>40</v>
      </c>
      <c r="C8" s="2" t="s">
        <v>47</v>
      </c>
      <c r="D8" s="1" t="s">
        <v>48</v>
      </c>
      <c r="E8" s="2" t="s">
        <v>49</v>
      </c>
      <c r="F8" s="1" t="s">
        <v>50</v>
      </c>
      <c r="G8" s="2" t="s">
        <v>51</v>
      </c>
      <c r="H8" s="1" t="s">
        <v>44</v>
      </c>
      <c r="I8" s="1" t="s">
        <v>52</v>
      </c>
      <c r="J8" s="1" t="s">
        <v>53</v>
      </c>
      <c r="K8" s="1" t="s">
        <v>54</v>
      </c>
      <c r="L8" s="2" t="s">
        <v>3</v>
      </c>
      <c r="N8" s="3" t="str">
        <f>IFERROR(VLOOKUP(G8, '組別頁面'!A:B, 2, FALSE) &amp; "#" &amp; C8, "")</f>
        <v>https://benessetw.atlassian.net/wiki/spaces/JIGissue/pages/614662145/JIG_#學習-1</v>
      </c>
      <c r="O8" s="1"/>
    </row>
    <row r="9" ht="15.75" customHeight="1">
      <c r="A9" s="2" t="s">
        <v>46</v>
      </c>
      <c r="B9" s="1" t="s">
        <v>40</v>
      </c>
      <c r="C9" s="2" t="s">
        <v>55</v>
      </c>
      <c r="D9" s="2" t="s">
        <v>56</v>
      </c>
      <c r="E9" s="2" t="s">
        <v>57</v>
      </c>
      <c r="F9" s="1" t="s">
        <v>50</v>
      </c>
      <c r="G9" s="2" t="s">
        <v>51</v>
      </c>
      <c r="H9" s="1" t="s">
        <v>44</v>
      </c>
      <c r="I9" s="1" t="s">
        <v>52</v>
      </c>
      <c r="J9" s="1" t="s">
        <v>58</v>
      </c>
      <c r="K9" s="1" t="s">
        <v>54</v>
      </c>
      <c r="L9" s="2" t="s">
        <v>3</v>
      </c>
      <c r="N9" s="3" t="str">
        <f>IFERROR(VLOOKUP(G9, '組別頁面'!A:B, 2, FALSE) &amp; "#" &amp; C9, "")</f>
        <v>https://benessetw.atlassian.net/wiki/spaces/JIGissue/pages/614662145/JIG_#學習-2</v>
      </c>
      <c r="O9" s="1"/>
    </row>
    <row r="10" ht="15.75" customHeight="1">
      <c r="A10" s="2" t="s">
        <v>59</v>
      </c>
      <c r="B10" s="1" t="s">
        <v>34</v>
      </c>
      <c r="C10" s="2" t="s">
        <v>60</v>
      </c>
      <c r="D10" s="2" t="s">
        <v>61</v>
      </c>
      <c r="E10" s="2" t="s">
        <v>59</v>
      </c>
      <c r="F10" s="1" t="s">
        <v>50</v>
      </c>
      <c r="G10" s="2" t="s">
        <v>62</v>
      </c>
      <c r="H10" s="1" t="s">
        <v>44</v>
      </c>
      <c r="I10" s="1" t="s">
        <v>63</v>
      </c>
      <c r="J10" s="1" t="s">
        <v>64</v>
      </c>
      <c r="K10" s="1" t="s">
        <v>54</v>
      </c>
      <c r="L10" s="2" t="s">
        <v>3</v>
      </c>
      <c r="N10" s="3" t="str">
        <f>IFERROR(VLOOKUP(G10, '組別頁面'!A:B, 2, FALSE) &amp; "#" &amp; C10, "")</f>
        <v>https://benessetw.atlassian.net/wiki/spaces/JIGissue/pages/614662161/JIG_#舞台劇-1</v>
      </c>
      <c r="O10" s="1"/>
    </row>
    <row r="11" ht="15.75" customHeight="1">
      <c r="A11" s="2" t="s">
        <v>65</v>
      </c>
      <c r="B11" s="1" t="s">
        <v>40</v>
      </c>
      <c r="C11" s="2" t="s">
        <v>66</v>
      </c>
      <c r="D11" s="1" t="s">
        <v>67</v>
      </c>
      <c r="E11" s="1" t="s">
        <v>68</v>
      </c>
      <c r="F11" s="1" t="s">
        <v>50</v>
      </c>
      <c r="G11" s="2" t="s">
        <v>69</v>
      </c>
      <c r="H11" s="1" t="s">
        <v>44</v>
      </c>
      <c r="I11" s="1" t="s">
        <v>70</v>
      </c>
      <c r="J11" s="1" t="s">
        <v>71</v>
      </c>
      <c r="K11" s="1" t="s">
        <v>54</v>
      </c>
      <c r="L11" s="2" t="s">
        <v>3</v>
      </c>
      <c r="N11" s="3" t="str">
        <f>IFERROR(VLOOKUP(G11, '組別頁面'!A:B, 2, FALSE) &amp; "#" &amp; C11, "")</f>
        <v>https://benessetw.atlassian.net/wiki/spaces/JIGissue/pages/614596611/JIG_#授權-1</v>
      </c>
      <c r="O11" s="1"/>
    </row>
    <row r="12" ht="15.75" customHeight="1">
      <c r="A12" s="2" t="s">
        <v>65</v>
      </c>
      <c r="B12" s="1" t="s">
        <v>40</v>
      </c>
      <c r="C12" s="2" t="s">
        <v>72</v>
      </c>
      <c r="D12" s="1" t="s">
        <v>73</v>
      </c>
      <c r="E12" s="1" t="s">
        <v>74</v>
      </c>
      <c r="F12" s="1" t="s">
        <v>50</v>
      </c>
      <c r="G12" s="2" t="s">
        <v>69</v>
      </c>
      <c r="H12" s="1" t="s">
        <v>44</v>
      </c>
      <c r="I12" s="1" t="s">
        <v>70</v>
      </c>
      <c r="J12" s="1" t="s">
        <v>71</v>
      </c>
      <c r="K12" s="1" t="s">
        <v>54</v>
      </c>
      <c r="L12" s="2" t="s">
        <v>3</v>
      </c>
      <c r="N12" s="3" t="str">
        <f>IFERROR(VLOOKUP(G12, '組別頁面'!A:B, 2, FALSE) &amp; "#" &amp; C12, "")</f>
        <v>https://benessetw.atlassian.net/wiki/spaces/JIGissue/pages/614596611/JIG_#授權-2</v>
      </c>
      <c r="O12" s="1"/>
    </row>
    <row r="13" ht="15.75" customHeight="1">
      <c r="A13" s="2" t="s">
        <v>65</v>
      </c>
      <c r="B13" s="1" t="s">
        <v>40</v>
      </c>
      <c r="C13" s="2" t="s">
        <v>75</v>
      </c>
      <c r="D13" s="1" t="s">
        <v>76</v>
      </c>
      <c r="E13" s="1" t="s">
        <v>77</v>
      </c>
      <c r="F13" s="1" t="s">
        <v>50</v>
      </c>
      <c r="G13" s="2" t="s">
        <v>69</v>
      </c>
      <c r="H13" s="1" t="s">
        <v>44</v>
      </c>
      <c r="I13" s="1" t="s">
        <v>70</v>
      </c>
      <c r="J13" s="1" t="s">
        <v>71</v>
      </c>
      <c r="K13" s="1" t="s">
        <v>54</v>
      </c>
      <c r="L13" s="2" t="s">
        <v>3</v>
      </c>
      <c r="N13" s="3" t="str">
        <f>IFERROR(VLOOKUP(G13, '組別頁面'!A:B, 2, FALSE) &amp; "#" &amp; C13, "")</f>
        <v>https://benessetw.atlassian.net/wiki/spaces/JIGissue/pages/614596611/JIG_#授權-3</v>
      </c>
      <c r="O13" s="1"/>
    </row>
    <row r="14" ht="15.75" customHeight="1">
      <c r="A14" s="2" t="s">
        <v>65</v>
      </c>
      <c r="B14" s="1" t="s">
        <v>40</v>
      </c>
      <c r="C14" s="2" t="s">
        <v>78</v>
      </c>
      <c r="D14" s="1" t="s">
        <v>79</v>
      </c>
      <c r="E14" s="2" t="s">
        <v>80</v>
      </c>
      <c r="F14" s="1" t="s">
        <v>50</v>
      </c>
      <c r="G14" s="2" t="s">
        <v>69</v>
      </c>
      <c r="H14" s="1" t="s">
        <v>44</v>
      </c>
      <c r="I14" s="1" t="s">
        <v>70</v>
      </c>
      <c r="J14" s="1" t="s">
        <v>71</v>
      </c>
      <c r="K14" s="1" t="s">
        <v>54</v>
      </c>
      <c r="L14" s="2" t="s">
        <v>3</v>
      </c>
      <c r="N14" s="3" t="str">
        <f>IFERROR(VLOOKUP(G14, '組別頁面'!A:B, 2, FALSE) &amp; "#" &amp; C14, "")</f>
        <v>https://benessetw.atlassian.net/wiki/spaces/JIGissue/pages/614596611/JIG_#授權-4</v>
      </c>
      <c r="O14" s="1"/>
    </row>
    <row r="15" ht="15.75" customHeight="1">
      <c r="A15" s="2" t="s">
        <v>81</v>
      </c>
      <c r="B15" s="1" t="s">
        <v>34</v>
      </c>
      <c r="C15" s="2" t="s">
        <v>82</v>
      </c>
      <c r="D15" s="2" t="s">
        <v>83</v>
      </c>
      <c r="E15" s="2" t="s">
        <v>84</v>
      </c>
      <c r="F15" s="1" t="s">
        <v>85</v>
      </c>
      <c r="G15" s="2" t="s">
        <v>86</v>
      </c>
      <c r="H15" s="1" t="s">
        <v>44</v>
      </c>
      <c r="I15" s="1" t="s">
        <v>87</v>
      </c>
      <c r="J15" s="1" t="s">
        <v>88</v>
      </c>
      <c r="K15" s="1" t="s">
        <v>89</v>
      </c>
      <c r="L15" s="2" t="s">
        <v>3</v>
      </c>
      <c r="N15" s="3" t="str">
        <f>IFERROR(VLOOKUP(G15, '組別頁面'!A:B, 2, FALSE) &amp; "#" &amp; C15, "")</f>
        <v>https://benessetw.atlassian.net/wiki/spaces/JIGissue/pages/614629392/JIG_#整合-1</v>
      </c>
      <c r="O15" s="1"/>
    </row>
    <row r="16" ht="15.75" customHeight="1">
      <c r="A16" s="2" t="s">
        <v>81</v>
      </c>
      <c r="B16" s="1" t="s">
        <v>34</v>
      </c>
      <c r="C16" s="2" t="s">
        <v>90</v>
      </c>
      <c r="D16" s="1" t="s">
        <v>91</v>
      </c>
      <c r="E16" s="2" t="s">
        <v>92</v>
      </c>
      <c r="F16" s="1" t="s">
        <v>85</v>
      </c>
      <c r="G16" s="2" t="s">
        <v>86</v>
      </c>
      <c r="H16" s="1" t="s">
        <v>44</v>
      </c>
      <c r="I16" s="1" t="s">
        <v>87</v>
      </c>
      <c r="J16" s="1" t="s">
        <v>88</v>
      </c>
      <c r="K16" s="1" t="s">
        <v>89</v>
      </c>
      <c r="L16" s="2" t="s">
        <v>3</v>
      </c>
      <c r="N16" s="3" t="str">
        <f>IFERROR(VLOOKUP(G16, '組別頁面'!A:B, 2, FALSE) &amp; "#" &amp; C16, "")</f>
        <v>https://benessetw.atlassian.net/wiki/spaces/JIGissue/pages/614629392/JIG_#整合-2</v>
      </c>
      <c r="O16" s="1"/>
    </row>
    <row r="17" ht="15.75" customHeight="1">
      <c r="A17" s="2" t="s">
        <v>81</v>
      </c>
      <c r="B17" s="1" t="s">
        <v>34</v>
      </c>
      <c r="C17" s="2" t="s">
        <v>93</v>
      </c>
      <c r="D17" s="2" t="s">
        <v>94</v>
      </c>
      <c r="E17" s="1" t="s">
        <v>95</v>
      </c>
      <c r="F17" s="1" t="s">
        <v>85</v>
      </c>
      <c r="G17" s="2" t="s">
        <v>86</v>
      </c>
      <c r="H17" s="1" t="s">
        <v>44</v>
      </c>
      <c r="I17" s="1" t="s">
        <v>87</v>
      </c>
      <c r="J17" s="1" t="s">
        <v>88</v>
      </c>
      <c r="K17" s="1" t="s">
        <v>89</v>
      </c>
      <c r="L17" s="2" t="s">
        <v>3</v>
      </c>
      <c r="N17" s="3" t="str">
        <f>IFERROR(VLOOKUP(G17, '組別頁面'!A:B, 2, FALSE) &amp; "#" &amp; C17, "")</f>
        <v>https://benessetw.atlassian.net/wiki/spaces/JIGissue/pages/614629392/JIG_#整合-3</v>
      </c>
      <c r="O17" s="1"/>
    </row>
    <row r="18" ht="15.75" customHeight="1">
      <c r="A18" s="2" t="s">
        <v>81</v>
      </c>
      <c r="B18" s="1" t="s">
        <v>40</v>
      </c>
      <c r="C18" s="2" t="s">
        <v>96</v>
      </c>
      <c r="D18" s="1" t="s">
        <v>97</v>
      </c>
      <c r="E18" s="2" t="s">
        <v>98</v>
      </c>
      <c r="F18" s="1" t="s">
        <v>85</v>
      </c>
      <c r="G18" s="2" t="s">
        <v>86</v>
      </c>
      <c r="H18" s="1" t="s">
        <v>44</v>
      </c>
      <c r="I18" s="1" t="s">
        <v>87</v>
      </c>
      <c r="J18" s="1" t="s">
        <v>88</v>
      </c>
      <c r="K18" s="1" t="s">
        <v>89</v>
      </c>
      <c r="L18" s="2" t="s">
        <v>3</v>
      </c>
      <c r="N18" s="3" t="str">
        <f>IFERROR(VLOOKUP(G18, '組別頁面'!A:B, 2, FALSE) &amp; "#" &amp; C18, "")</f>
        <v>https://benessetw.atlassian.net/wiki/spaces/JIGissue/pages/614629392/JIG_#整合-4</v>
      </c>
      <c r="O18" s="1"/>
    </row>
    <row r="19" ht="15.75" customHeight="1">
      <c r="A19" s="2" t="s">
        <v>81</v>
      </c>
      <c r="B19" s="2" t="s">
        <v>34</v>
      </c>
      <c r="C19" s="2" t="s">
        <v>99</v>
      </c>
      <c r="D19" s="2" t="s">
        <v>100</v>
      </c>
      <c r="E19" s="2" t="s">
        <v>101</v>
      </c>
      <c r="F19" s="1" t="s">
        <v>85</v>
      </c>
      <c r="G19" s="2" t="s">
        <v>102</v>
      </c>
      <c r="H19" s="1" t="s">
        <v>44</v>
      </c>
      <c r="I19" s="1" t="s">
        <v>103</v>
      </c>
      <c r="J19" s="1" t="s">
        <v>104</v>
      </c>
      <c r="K19" s="1" t="s">
        <v>89</v>
      </c>
      <c r="L19" s="2" t="s">
        <v>3</v>
      </c>
      <c r="N19" s="3" t="str">
        <f>IFERROR(VLOOKUP(G19, '組別頁面'!A:B, 2, FALSE) &amp; "#" &amp; C19, "")</f>
        <v>https://benessetw.atlassian.net/wiki/spaces/JIGissue/pages/614629407/JIG_#整合-5</v>
      </c>
      <c r="O19" s="1"/>
    </row>
    <row r="20" ht="15.75" customHeight="1">
      <c r="A20" s="2" t="s">
        <v>81</v>
      </c>
      <c r="B20" s="1" t="s">
        <v>34</v>
      </c>
      <c r="C20" s="2" t="s">
        <v>105</v>
      </c>
      <c r="D20" s="2" t="s">
        <v>106</v>
      </c>
      <c r="E20" s="2" t="s">
        <v>107</v>
      </c>
      <c r="F20" s="1" t="s">
        <v>85</v>
      </c>
      <c r="G20" s="2" t="s">
        <v>102</v>
      </c>
      <c r="H20" s="1" t="s">
        <v>44</v>
      </c>
      <c r="I20" s="1" t="s">
        <v>103</v>
      </c>
      <c r="J20" s="1" t="s">
        <v>104</v>
      </c>
      <c r="K20" s="1" t="s">
        <v>89</v>
      </c>
      <c r="L20" s="2" t="s">
        <v>3</v>
      </c>
      <c r="N20" s="3" t="str">
        <f>IFERROR(VLOOKUP(G20, '組別頁面'!A:B, 2, FALSE) &amp; "#" &amp; C20, "")</f>
        <v>https://benessetw.atlassian.net/wiki/spaces/JIGissue/pages/614629407/JIG_#整合-6</v>
      </c>
      <c r="O20" s="1"/>
    </row>
    <row r="21" ht="15.75" customHeight="1">
      <c r="A21" s="2" t="s">
        <v>81</v>
      </c>
      <c r="B21" s="2" t="s">
        <v>34</v>
      </c>
      <c r="C21" s="2" t="s">
        <v>108</v>
      </c>
      <c r="D21" s="2" t="s">
        <v>109</v>
      </c>
      <c r="E21" s="2" t="s">
        <v>110</v>
      </c>
      <c r="F21" s="1" t="s">
        <v>85</v>
      </c>
      <c r="G21" s="2" t="s">
        <v>102</v>
      </c>
      <c r="H21" s="1" t="s">
        <v>44</v>
      </c>
      <c r="I21" s="1" t="s">
        <v>103</v>
      </c>
      <c r="J21" s="1" t="s">
        <v>104</v>
      </c>
      <c r="K21" s="1" t="s">
        <v>89</v>
      </c>
      <c r="L21" s="2" t="s">
        <v>3</v>
      </c>
      <c r="N21" s="3" t="str">
        <f>IFERROR(VLOOKUP(G21, '組別頁面'!A:B, 2, FALSE) &amp; "#" &amp; C21, "")</f>
        <v>https://benessetw.atlassian.net/wiki/spaces/JIGissue/pages/614629407/JIG_#整合-7</v>
      </c>
      <c r="O21" s="1"/>
    </row>
    <row r="22" ht="15.75" customHeight="1">
      <c r="A22" s="2" t="s">
        <v>111</v>
      </c>
      <c r="B22" s="1" t="s">
        <v>34</v>
      </c>
      <c r="C22" s="2" t="s">
        <v>112</v>
      </c>
      <c r="D22" s="1" t="s">
        <v>113</v>
      </c>
      <c r="E22" s="2" t="s">
        <v>114</v>
      </c>
      <c r="F22" s="1" t="s">
        <v>115</v>
      </c>
      <c r="G22" s="2" t="s">
        <v>116</v>
      </c>
      <c r="H22" s="1" t="s">
        <v>44</v>
      </c>
      <c r="I22" s="1" t="s">
        <v>117</v>
      </c>
      <c r="J22" s="1" t="s">
        <v>118</v>
      </c>
      <c r="K22" s="1" t="s">
        <v>119</v>
      </c>
      <c r="L22" s="2" t="s">
        <v>3</v>
      </c>
      <c r="N22" s="3" t="str">
        <f>IFERROR(VLOOKUP(G22, '組別頁面'!A:B, 2, FALSE) &amp; "#" &amp; C22, "")</f>
        <v>https://benessetw.atlassian.net/wiki/spaces/JIGissue/pages/614694913/JIG_LTV#CX-1</v>
      </c>
      <c r="O22" s="1"/>
    </row>
    <row r="23" ht="15.75" customHeight="1">
      <c r="A23" s="2"/>
      <c r="C23" s="2"/>
      <c r="D23" s="2" t="s">
        <v>120</v>
      </c>
      <c r="E23" s="2" t="s">
        <v>121</v>
      </c>
      <c r="G23" s="2" t="s">
        <v>23</v>
      </c>
      <c r="H23" s="1" t="s">
        <v>44</v>
      </c>
      <c r="I23" s="1" t="s">
        <v>117</v>
      </c>
      <c r="J23" s="1" t="s">
        <v>118</v>
      </c>
      <c r="K23" s="1" t="s">
        <v>119</v>
      </c>
      <c r="L23" s="2" t="s">
        <v>30</v>
      </c>
      <c r="M23" s="2" t="s">
        <v>112</v>
      </c>
      <c r="N23" s="3" t="str">
        <f>IFERROR(VLOOKUP(G23, '組別頁面'!A:B, 2, FALSE) &amp; "#" &amp; C23, "")</f>
        <v>https://benessetw.atlassian.net/wiki/spaces/JIGissue/pages/614629377/JIG_#</v>
      </c>
      <c r="O23" s="1"/>
    </row>
    <row r="24" ht="15.75" customHeight="1">
      <c r="A24" s="2" t="s">
        <v>111</v>
      </c>
      <c r="B24" s="1" t="s">
        <v>34</v>
      </c>
      <c r="C24" s="2" t="s">
        <v>122</v>
      </c>
      <c r="D24" s="1" t="s">
        <v>123</v>
      </c>
      <c r="E24" s="2" t="s">
        <v>124</v>
      </c>
      <c r="F24" s="1" t="s">
        <v>115</v>
      </c>
      <c r="G24" s="2" t="s">
        <v>116</v>
      </c>
      <c r="H24" s="1" t="s">
        <v>44</v>
      </c>
      <c r="I24" s="1" t="s">
        <v>117</v>
      </c>
      <c r="J24" s="1" t="s">
        <v>118</v>
      </c>
      <c r="K24" s="1" t="s">
        <v>119</v>
      </c>
      <c r="L24" s="2" t="s">
        <v>3</v>
      </c>
      <c r="N24" s="3" t="str">
        <f>IFERROR(VLOOKUP(G24, '組別頁面'!A:B, 2, FALSE) &amp; "#" &amp; C24, "")</f>
        <v>https://benessetw.atlassian.net/wiki/spaces/JIGissue/pages/614694913/JIG_LTV#CX-2</v>
      </c>
      <c r="O24" s="1"/>
    </row>
    <row r="25" ht="15.75" customHeight="1">
      <c r="A25" s="2" t="s">
        <v>111</v>
      </c>
      <c r="B25" s="1" t="s">
        <v>34</v>
      </c>
      <c r="C25" s="2" t="s">
        <v>125</v>
      </c>
      <c r="D25" s="2" t="s">
        <v>126</v>
      </c>
      <c r="E25" s="2" t="s">
        <v>127</v>
      </c>
      <c r="F25" s="1" t="s">
        <v>115</v>
      </c>
      <c r="G25" s="2" t="s">
        <v>116</v>
      </c>
      <c r="H25" s="1" t="s">
        <v>44</v>
      </c>
      <c r="I25" s="1" t="s">
        <v>117</v>
      </c>
      <c r="J25" s="1" t="s">
        <v>118</v>
      </c>
      <c r="K25" s="1" t="s">
        <v>119</v>
      </c>
      <c r="L25" s="2" t="s">
        <v>3</v>
      </c>
      <c r="N25" s="3" t="str">
        <f>IFERROR(VLOOKUP(G25, '組別頁面'!A:B, 2, FALSE) &amp; "#" &amp; C25, "")</f>
        <v>https://benessetw.atlassian.net/wiki/spaces/JIGissue/pages/614694913/JIG_LTV#CX-3</v>
      </c>
      <c r="O25" s="1"/>
    </row>
    <row r="26" ht="15.75" customHeight="1">
      <c r="A26" s="2" t="s">
        <v>128</v>
      </c>
      <c r="B26" s="1" t="s">
        <v>129</v>
      </c>
      <c r="C26" s="2" t="s">
        <v>130</v>
      </c>
      <c r="D26" s="2" t="s">
        <v>131</v>
      </c>
      <c r="E26" s="2" t="s">
        <v>132</v>
      </c>
      <c r="F26" s="1" t="s">
        <v>133</v>
      </c>
      <c r="G26" s="2" t="s">
        <v>134</v>
      </c>
      <c r="H26" s="1" t="s">
        <v>135</v>
      </c>
      <c r="I26" s="1" t="s">
        <v>136</v>
      </c>
      <c r="J26" s="1" t="s">
        <v>137</v>
      </c>
      <c r="K26" s="1" t="s">
        <v>138</v>
      </c>
      <c r="L26" s="2" t="s">
        <v>3</v>
      </c>
      <c r="N26" s="3" t="str">
        <f>IFERROR(VLOOKUP(G26, '組別頁面'!A:B, 2, FALSE) &amp; "#" &amp; C26, "")</f>
        <v>https://benessetw.atlassian.net/wiki/spaces/JIGissue/pages/614629422/JIG_#資訊-1</v>
      </c>
      <c r="O26" s="1"/>
    </row>
    <row r="27" ht="15.75" customHeight="1">
      <c r="A27" s="2" t="s">
        <v>139</v>
      </c>
      <c r="B27" s="1" t="s">
        <v>140</v>
      </c>
      <c r="C27" s="2" t="s">
        <v>141</v>
      </c>
      <c r="D27" s="2" t="s">
        <v>142</v>
      </c>
      <c r="E27" s="2" t="s">
        <v>143</v>
      </c>
      <c r="F27" s="1" t="s">
        <v>139</v>
      </c>
      <c r="G27" s="2" t="s">
        <v>144</v>
      </c>
      <c r="H27" s="1" t="s">
        <v>135</v>
      </c>
      <c r="I27" s="1" t="s">
        <v>145</v>
      </c>
      <c r="J27" s="1" t="s">
        <v>146</v>
      </c>
      <c r="K27" s="1" t="s">
        <v>147</v>
      </c>
      <c r="L27" s="2" t="s">
        <v>3</v>
      </c>
      <c r="N27" s="3" t="str">
        <f>IFERROR(VLOOKUP(G27, '組別頁面'!A:B, 2, FALSE) &amp; "#" &amp; C27, "")</f>
        <v>https://benessetw.atlassian.net/wiki/spaces/JIGissue/pages/614694928/JIG_#財務-1</v>
      </c>
      <c r="O27" s="1"/>
    </row>
    <row r="28">
      <c r="A28" s="2" t="s">
        <v>148</v>
      </c>
      <c r="B28" s="1" t="s">
        <v>129</v>
      </c>
      <c r="C28" s="2" t="s">
        <v>149</v>
      </c>
      <c r="D28" s="2" t="s">
        <v>150</v>
      </c>
      <c r="E28" s="2" t="s">
        <v>150</v>
      </c>
      <c r="F28" s="1" t="s">
        <v>151</v>
      </c>
      <c r="G28" s="2" t="s">
        <v>152</v>
      </c>
      <c r="H28" s="1" t="s">
        <v>135</v>
      </c>
      <c r="I28" s="1" t="s">
        <v>153</v>
      </c>
      <c r="J28" s="1" t="s">
        <v>154</v>
      </c>
      <c r="K28" s="1" t="s">
        <v>155</v>
      </c>
      <c r="L28" s="2" t="s">
        <v>3</v>
      </c>
      <c r="N28" s="3" t="str">
        <f>IFERROR(VLOOKUP(G28, '組別頁面'!A:B, 2, FALSE) &amp; "#" &amp; C28, "")</f>
        <v>https://benessetw.atlassian.net/wiki/spaces/JIGissue/pages/614662176/JIG_#總統-1</v>
      </c>
      <c r="O28" s="1"/>
    </row>
    <row r="29">
      <c r="A29" s="2" t="s">
        <v>148</v>
      </c>
      <c r="B29" s="1" t="s">
        <v>129</v>
      </c>
      <c r="C29" s="2" t="s">
        <v>156</v>
      </c>
      <c r="D29" s="2" t="s">
        <v>157</v>
      </c>
      <c r="E29" s="2" t="s">
        <v>157</v>
      </c>
      <c r="F29" s="1" t="s">
        <v>151</v>
      </c>
      <c r="G29" s="2" t="s">
        <v>152</v>
      </c>
      <c r="H29" s="1" t="s">
        <v>135</v>
      </c>
      <c r="I29" s="1" t="s">
        <v>153</v>
      </c>
      <c r="J29" s="1" t="s">
        <v>154</v>
      </c>
      <c r="K29" s="1" t="s">
        <v>155</v>
      </c>
      <c r="L29" s="2" t="s">
        <v>3</v>
      </c>
      <c r="N29" s="3" t="str">
        <f>IFERROR(VLOOKUP(G29, '組別頁面'!A:B, 2, FALSE) &amp; "#" &amp; C29, "")</f>
        <v>https://benessetw.atlassian.net/wiki/spaces/JIGissue/pages/614662176/JIG_#總統-2</v>
      </c>
      <c r="O29" s="1"/>
    </row>
    <row r="30">
      <c r="A30" s="2" t="s">
        <v>148</v>
      </c>
      <c r="B30" s="1" t="s">
        <v>140</v>
      </c>
      <c r="C30" s="2" t="s">
        <v>158</v>
      </c>
      <c r="D30" s="1" t="s">
        <v>159</v>
      </c>
      <c r="E30" s="1" t="s">
        <v>160</v>
      </c>
      <c r="F30" s="1" t="s">
        <v>151</v>
      </c>
      <c r="G30" s="2" t="s">
        <v>152</v>
      </c>
      <c r="H30" s="1" t="s">
        <v>135</v>
      </c>
      <c r="I30" s="1" t="s">
        <v>153</v>
      </c>
      <c r="J30" s="1" t="s">
        <v>161</v>
      </c>
      <c r="K30" s="1" t="s">
        <v>162</v>
      </c>
      <c r="L30" s="2" t="s">
        <v>3</v>
      </c>
      <c r="N30" s="3" t="str">
        <f>IFERROR(VLOOKUP(G30, '組別頁面'!A:B, 2, FALSE) &amp; "#" &amp; C30, "")</f>
        <v>https://benessetw.atlassian.net/wiki/spaces/JIGissue/pages/614662176/JIG_#總統-3</v>
      </c>
      <c r="O30" s="1"/>
    </row>
    <row r="31">
      <c r="A31" s="2" t="s">
        <v>163</v>
      </c>
      <c r="B31" s="1" t="s">
        <v>129</v>
      </c>
      <c r="C31" s="2" t="s">
        <v>164</v>
      </c>
      <c r="D31" s="1" t="s">
        <v>165</v>
      </c>
      <c r="E31" s="1" t="s">
        <v>166</v>
      </c>
      <c r="F31" s="1" t="s">
        <v>22</v>
      </c>
      <c r="G31" s="2" t="s">
        <v>167</v>
      </c>
      <c r="H31" s="1" t="s">
        <v>135</v>
      </c>
      <c r="I31" s="1" t="s">
        <v>168</v>
      </c>
      <c r="J31" s="1" t="s">
        <v>163</v>
      </c>
      <c r="K31" s="1" t="s">
        <v>169</v>
      </c>
      <c r="L31" s="2" t="s">
        <v>3</v>
      </c>
      <c r="N31" s="3" t="str">
        <f>IFERROR(VLOOKUP(G31, '組別頁面'!A:B, 2, FALSE) &amp; "#" &amp; C31, "")</f>
        <v>https://benessetw.atlassian.net/wiki/spaces/JIGissue/pages/614694943/JIG_#靜中美-1</v>
      </c>
      <c r="O31" s="1"/>
    </row>
    <row r="32">
      <c r="A32" s="2" t="s">
        <v>163</v>
      </c>
      <c r="B32" s="1" t="s">
        <v>40</v>
      </c>
      <c r="C32" s="2" t="s">
        <v>170</v>
      </c>
      <c r="D32" s="1" t="s">
        <v>171</v>
      </c>
      <c r="E32" s="1" t="s">
        <v>172</v>
      </c>
      <c r="F32" s="1" t="s">
        <v>22</v>
      </c>
      <c r="G32" s="2" t="s">
        <v>167</v>
      </c>
      <c r="H32" s="1" t="s">
        <v>44</v>
      </c>
      <c r="I32" s="1" t="s">
        <v>168</v>
      </c>
      <c r="J32" s="1" t="s">
        <v>163</v>
      </c>
      <c r="K32" s="1" t="s">
        <v>169</v>
      </c>
      <c r="L32" s="2" t="s">
        <v>3</v>
      </c>
      <c r="N32" s="3" t="str">
        <f>IFERROR(VLOOKUP(G32, '組別頁面'!A:B, 2, FALSE) &amp; "#" &amp; C32, "")</f>
        <v>https://benessetw.atlassian.net/wiki/spaces/JIGissue/pages/614694943/JIG_#靜中美-2</v>
      </c>
      <c r="O32" s="1"/>
    </row>
    <row r="33">
      <c r="A33" s="2" t="s">
        <v>163</v>
      </c>
      <c r="B33" s="1" t="s">
        <v>40</v>
      </c>
      <c r="C33" s="2" t="s">
        <v>173</v>
      </c>
      <c r="D33" s="1" t="s">
        <v>174</v>
      </c>
      <c r="E33" s="1" t="s">
        <v>175</v>
      </c>
      <c r="F33" s="1" t="s">
        <v>22</v>
      </c>
      <c r="G33" s="2" t="s">
        <v>167</v>
      </c>
      <c r="H33" s="1" t="s">
        <v>44</v>
      </c>
      <c r="I33" s="1" t="s">
        <v>168</v>
      </c>
      <c r="J33" s="1" t="s">
        <v>163</v>
      </c>
      <c r="K33" s="1" t="s">
        <v>169</v>
      </c>
      <c r="L33" s="2" t="s">
        <v>3</v>
      </c>
      <c r="N33" s="3" t="str">
        <f>IFERROR(VLOOKUP(G33, '組別頁面'!A:B, 2, FALSE) &amp; "#" &amp; C33, "")</f>
        <v>https://benessetw.atlassian.net/wiki/spaces/JIGissue/pages/614694943/JIG_#靜中美-3</v>
      </c>
      <c r="O33" s="1"/>
    </row>
    <row r="34">
      <c r="A34" s="2" t="s">
        <v>176</v>
      </c>
      <c r="B34" s="1" t="s">
        <v>140</v>
      </c>
      <c r="C34" s="2" t="s">
        <v>177</v>
      </c>
      <c r="D34" s="1" t="s">
        <v>178</v>
      </c>
      <c r="E34" s="1" t="s">
        <v>179</v>
      </c>
      <c r="F34" s="1" t="s">
        <v>22</v>
      </c>
      <c r="G34" s="2" t="s">
        <v>180</v>
      </c>
      <c r="H34" s="1" t="s">
        <v>135</v>
      </c>
      <c r="I34" s="1" t="s">
        <v>181</v>
      </c>
      <c r="J34" s="1" t="s">
        <v>182</v>
      </c>
      <c r="K34" s="1" t="s">
        <v>183</v>
      </c>
      <c r="L34" s="2" t="s">
        <v>3</v>
      </c>
      <c r="N34" s="3" t="str">
        <f>IFERROR(VLOOKUP(G34, '組別頁面'!A:B, 2, FALSE) &amp; "#" &amp; C34, "")</f>
        <v>https://benessetw.atlassian.net/wiki/spaces/JIGissue/pages/614629437/JIG_+AIC#AIC-1</v>
      </c>
      <c r="O34" s="1"/>
    </row>
    <row r="35">
      <c r="A35" s="2" t="s">
        <v>184</v>
      </c>
      <c r="B35" s="1" t="s">
        <v>34</v>
      </c>
      <c r="C35" s="2" t="s">
        <v>185</v>
      </c>
      <c r="D35" s="1" t="s">
        <v>186</v>
      </c>
      <c r="E35" s="1" t="s">
        <v>187</v>
      </c>
      <c r="F35" s="1" t="s">
        <v>22</v>
      </c>
      <c r="G35" s="2" t="s">
        <v>188</v>
      </c>
      <c r="H35" s="1" t="s">
        <v>44</v>
      </c>
      <c r="I35" s="1" t="s">
        <v>189</v>
      </c>
      <c r="J35" s="1" t="s">
        <v>190</v>
      </c>
      <c r="K35" s="1" t="s">
        <v>191</v>
      </c>
      <c r="L35" s="2" t="s">
        <v>3</v>
      </c>
      <c r="N35" s="3" t="str">
        <f>IFERROR(VLOOKUP(G35, '組別頁面'!A:B, 2, FALSE) &amp; "#" &amp; C35, "")</f>
        <v>https://benessetw.atlassian.net/wiki/spaces/WS/pages/240386801/LC8T#LC8T-1</v>
      </c>
      <c r="O35" s="1"/>
    </row>
    <row r="36">
      <c r="A36" s="2" t="s">
        <v>192</v>
      </c>
      <c r="B36" s="1" t="s">
        <v>129</v>
      </c>
      <c r="C36" s="2" t="s">
        <v>193</v>
      </c>
      <c r="D36" s="2" t="s">
        <v>194</v>
      </c>
      <c r="E36" s="2" t="s">
        <v>195</v>
      </c>
      <c r="F36" s="1" t="s">
        <v>22</v>
      </c>
      <c r="G36" s="2" t="s">
        <v>196</v>
      </c>
      <c r="H36" s="1" t="s">
        <v>135</v>
      </c>
      <c r="I36" s="1" t="s">
        <v>197</v>
      </c>
      <c r="J36" s="1" t="s">
        <v>192</v>
      </c>
      <c r="K36" s="1" t="s">
        <v>198</v>
      </c>
      <c r="L36" s="2" t="s">
        <v>3</v>
      </c>
      <c r="N36" s="3" t="str">
        <f>IFERROR(VLOOKUP(G36, '組別頁面'!A:B, 2, FALSE) &amp; "#" &amp; C36, "")</f>
        <v>https://benessetw.atlassian.net/wiki/spaces/WS/pages/213450952/-#綢繆帷幄-2</v>
      </c>
      <c r="O36" s="1"/>
    </row>
    <row r="37" ht="15.75" customHeight="1">
      <c r="A37" s="2" t="s">
        <v>135</v>
      </c>
      <c r="B37" s="1" t="s">
        <v>140</v>
      </c>
      <c r="C37" s="2" t="s">
        <v>199</v>
      </c>
      <c r="D37" s="1" t="s">
        <v>200</v>
      </c>
      <c r="E37" s="1" t="s">
        <v>201</v>
      </c>
      <c r="F37" s="1" t="s">
        <v>22</v>
      </c>
      <c r="G37" s="2" t="s">
        <v>202</v>
      </c>
      <c r="H37" s="1" t="s">
        <v>135</v>
      </c>
      <c r="I37" s="1" t="s">
        <v>203</v>
      </c>
      <c r="J37" s="1" t="s">
        <v>204</v>
      </c>
      <c r="K37" s="1" t="s">
        <v>205</v>
      </c>
      <c r="L37" s="2" t="s">
        <v>3</v>
      </c>
      <c r="N37" s="3" t="str">
        <f>IFERROR(VLOOKUP(G37, '組別頁面'!A:B, 2, FALSE) &amp; "#" &amp; C37, "")</f>
        <v>https://benessetw.atlassian.net/wiki/spaces/WS/pages/66879652#詩雅-1</v>
      </c>
      <c r="O37" s="1"/>
    </row>
    <row r="38" ht="15.75" customHeight="1">
      <c r="A38" s="2" t="s">
        <v>135</v>
      </c>
      <c r="B38" s="1" t="s">
        <v>140</v>
      </c>
      <c r="C38" s="2" t="s">
        <v>206</v>
      </c>
      <c r="D38" s="2" t="s">
        <v>207</v>
      </c>
      <c r="E38" s="2" t="s">
        <v>208</v>
      </c>
      <c r="F38" s="1" t="s">
        <v>22</v>
      </c>
      <c r="G38" s="2" t="s">
        <v>202</v>
      </c>
      <c r="H38" s="1" t="s">
        <v>135</v>
      </c>
      <c r="I38" s="1" t="s">
        <v>203</v>
      </c>
      <c r="J38" s="1" t="s">
        <v>209</v>
      </c>
      <c r="K38" s="1" t="s">
        <v>210</v>
      </c>
      <c r="L38" s="2" t="s">
        <v>3</v>
      </c>
      <c r="N38" s="3" t="str">
        <f>IFERROR(VLOOKUP(G38, '組別頁面'!A:B, 2, FALSE) &amp; "#" &amp; C38, "")</f>
        <v>https://benessetw.atlassian.net/wiki/spaces/WS/pages/66879652#詩雅-2</v>
      </c>
      <c r="O38" s="1"/>
    </row>
    <row r="39" ht="15.75" customHeight="1">
      <c r="A39" s="2" t="s">
        <v>44</v>
      </c>
      <c r="B39" s="1" t="s">
        <v>140</v>
      </c>
      <c r="C39" s="2" t="s">
        <v>211</v>
      </c>
      <c r="D39" s="1" t="s">
        <v>212</v>
      </c>
      <c r="E39" s="2" t="s">
        <v>213</v>
      </c>
      <c r="F39" s="1" t="s">
        <v>22</v>
      </c>
      <c r="G39" s="2" t="s">
        <v>214</v>
      </c>
      <c r="H39" s="1" t="s">
        <v>44</v>
      </c>
      <c r="I39" s="1" t="s">
        <v>215</v>
      </c>
      <c r="J39" s="1" t="s">
        <v>216</v>
      </c>
      <c r="K39" s="1" t="s">
        <v>217</v>
      </c>
      <c r="L39" s="2" t="s">
        <v>3</v>
      </c>
      <c r="N39" s="3" t="str">
        <f>IFERROR(VLOOKUP(G39, '組別頁面'!A:B, 2, FALSE) &amp; "#" &amp; C39, "")</f>
        <v>https://benessetw.atlassian.net/wiki/spaces/WS/pages/161808493#育菱-1</v>
      </c>
      <c r="O39" s="1"/>
    </row>
    <row r="40" ht="15.75" customHeight="1">
      <c r="A40" s="2" t="s">
        <v>218</v>
      </c>
      <c r="B40" s="1" t="s">
        <v>140</v>
      </c>
      <c r="C40" s="2" t="s">
        <v>219</v>
      </c>
      <c r="D40" s="1" t="s">
        <v>220</v>
      </c>
      <c r="E40" s="2" t="s">
        <v>218</v>
      </c>
      <c r="F40" s="1" t="s">
        <v>22</v>
      </c>
      <c r="G40" s="2" t="s">
        <v>221</v>
      </c>
      <c r="H40" s="1" t="s">
        <v>135</v>
      </c>
      <c r="I40" s="1" t="s">
        <v>222</v>
      </c>
      <c r="J40" s="1" t="s">
        <v>218</v>
      </c>
      <c r="K40" s="1" t="s">
        <v>223</v>
      </c>
      <c r="L40" s="2" t="s">
        <v>3</v>
      </c>
      <c r="N40" s="3" t="str">
        <f>IFERROR(VLOOKUP(G40, '組別頁面'!A:B, 2, FALSE) &amp; "#" &amp; C40, "")</f>
        <v>https://benessetw.atlassian.net/wiki/spaces/WS/pages/87491507/Page+Tree#經營會-1</v>
      </c>
      <c r="O40" s="1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</sheetData>
  <conditionalFormatting sqref="O1:O973">
    <cfRule type="cellIs" dxfId="0" priority="1" operator="equal">
      <formula>"未開始"</formula>
    </cfRule>
  </conditionalFormatting>
  <conditionalFormatting sqref="O1:O973">
    <cfRule type="cellIs" dxfId="1" priority="2" operator="equal">
      <formula>"進行中"</formula>
    </cfRule>
  </conditionalFormatting>
  <conditionalFormatting sqref="O1:O973">
    <cfRule type="cellIs" dxfId="2" priority="3" operator="equal">
      <formula>"結案"</formula>
    </cfRule>
  </conditionalFormatting>
  <conditionalFormatting sqref="Q1:Q973">
    <cfRule type="expression" dxfId="1" priority="4">
      <formula>AND($Q2&lt;&gt;"", TODAY()-$Q2&gt;7, TODAY()-$Q2&lt;=14)</formula>
    </cfRule>
  </conditionalFormatting>
  <conditionalFormatting sqref="Q1:Q973">
    <cfRule type="expression" dxfId="3" priority="5">
      <formula>AND($Q2&lt;&gt;"", TODAY()-$Q2&gt;14)</formula>
    </cfRule>
  </conditionalFormatting>
  <dataValidations>
    <dataValidation type="list" allowBlank="1" showErrorMessage="1" sqref="L2:L40">
      <formula1>"Issue,Task"</formula1>
    </dataValidation>
    <dataValidation type="list" allowBlank="1" showErrorMessage="1" sqref="O2:O40">
      <formula1>"未開始,進行中,結案"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4.0"/>
  </cols>
  <sheetData>
    <row r="1">
      <c r="A1" s="2" t="s">
        <v>23</v>
      </c>
      <c r="B1" s="4" t="s">
        <v>224</v>
      </c>
    </row>
    <row r="2">
      <c r="A2" s="2" t="s">
        <v>51</v>
      </c>
      <c r="B2" s="4" t="s">
        <v>225</v>
      </c>
    </row>
    <row r="3">
      <c r="A3" s="2" t="s">
        <v>62</v>
      </c>
      <c r="B3" s="4" t="s">
        <v>226</v>
      </c>
    </row>
    <row r="4">
      <c r="A4" s="2" t="s">
        <v>69</v>
      </c>
      <c r="B4" s="4" t="s">
        <v>227</v>
      </c>
    </row>
    <row r="5">
      <c r="A5" s="2" t="s">
        <v>86</v>
      </c>
      <c r="B5" s="4" t="s">
        <v>228</v>
      </c>
    </row>
    <row r="6">
      <c r="A6" s="2" t="s">
        <v>102</v>
      </c>
      <c r="B6" s="4" t="s">
        <v>229</v>
      </c>
    </row>
    <row r="7">
      <c r="A7" s="2" t="s">
        <v>116</v>
      </c>
      <c r="B7" s="4" t="s">
        <v>230</v>
      </c>
    </row>
    <row r="8">
      <c r="A8" s="2" t="s">
        <v>134</v>
      </c>
      <c r="B8" s="4" t="s">
        <v>231</v>
      </c>
    </row>
    <row r="9">
      <c r="A9" s="2" t="s">
        <v>144</v>
      </c>
      <c r="B9" s="4" t="s">
        <v>232</v>
      </c>
    </row>
    <row r="10">
      <c r="A10" s="2" t="s">
        <v>152</v>
      </c>
      <c r="B10" s="4" t="s">
        <v>233</v>
      </c>
    </row>
    <row r="11">
      <c r="A11" s="2" t="s">
        <v>167</v>
      </c>
      <c r="B11" s="4" t="s">
        <v>234</v>
      </c>
    </row>
    <row r="12">
      <c r="A12" s="2" t="s">
        <v>180</v>
      </c>
      <c r="B12" s="4" t="s">
        <v>235</v>
      </c>
    </row>
    <row r="13">
      <c r="A13" s="2" t="s">
        <v>188</v>
      </c>
      <c r="B13" s="5" t="s">
        <v>236</v>
      </c>
    </row>
    <row r="14">
      <c r="A14" s="2" t="s">
        <v>196</v>
      </c>
      <c r="B14" s="5" t="s">
        <v>237</v>
      </c>
    </row>
    <row r="15">
      <c r="A15" s="2" t="s">
        <v>202</v>
      </c>
      <c r="B15" s="5" t="s">
        <v>238</v>
      </c>
    </row>
    <row r="16">
      <c r="A16" s="2" t="s">
        <v>214</v>
      </c>
      <c r="B16" s="5" t="s">
        <v>239</v>
      </c>
    </row>
    <row r="17">
      <c r="A17" s="2" t="s">
        <v>221</v>
      </c>
      <c r="B17" s="4" t="s">
        <v>240</v>
      </c>
    </row>
  </sheetData>
  <hyperlinks>
    <hyperlink r:id="rId1" ref="B1"/>
    <hyperlink r:id="rId2" ref="B2"/>
    <hyperlink r:id="rId3" ref="B3"/>
    <hyperlink r:id="rId4" ref="B4"/>
    <hyperlink r:id="rId5" ref="B5"/>
    <hyperlink r:id="rId6" ref="B6"/>
    <hyperlink r:id="rId7" ref="B7"/>
    <hyperlink r:id="rId8" ref="B8"/>
    <hyperlink r:id="rId9" ref="B9"/>
    <hyperlink r:id="rId10" ref="B10"/>
    <hyperlink r:id="rId11" ref="B11"/>
    <hyperlink r:id="rId12" ref="B12"/>
    <hyperlink r:id="rId13" ref="B13"/>
    <hyperlink r:id="rId14" ref="B14"/>
    <hyperlink r:id="rId15" ref="B15"/>
    <hyperlink r:id="rId16" ref="B16"/>
    <hyperlink r:id="rId17" ref="B17"/>
  </hyperlinks>
  <drawing r:id="rId18"/>
</worksheet>
</file>